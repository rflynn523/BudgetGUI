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rflyn\Desktop\BudgetGUI\"/>
    </mc:Choice>
  </mc:AlternateContent>
  <bookViews>
    <workbookView xWindow="0" yWindow="0" windowWidth="19200" windowHeight="7980" activeTab="2"/>
  </bookViews>
  <sheets>
    <sheet name="Data Set" sheetId="4" r:id="rId1"/>
    <sheet name="Yearly" sheetId="3" r:id="rId2"/>
    <sheet name="Monthly" sheetId="2" r:id="rId3"/>
  </sheets>
  <externalReferences>
    <externalReference r:id="rId4"/>
  </externalReferences>
  <definedNames>
    <definedName name="_xlnm._FilterDatabase" localSheetId="0" hidden="1">'Data Set'!$D$3:$I$27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6" i="2" l="1"/>
  <c r="J45" i="2"/>
  <c r="N46" i="2"/>
  <c r="N45" i="2"/>
  <c r="O35" i="3"/>
  <c r="P17" i="3"/>
  <c r="P15" i="3"/>
  <c r="M15" i="3"/>
  <c r="P14" i="3"/>
  <c r="M14" i="3"/>
  <c r="P13" i="3"/>
  <c r="M13" i="3"/>
  <c r="P12" i="3"/>
  <c r="M12" i="3"/>
  <c r="P11" i="3"/>
  <c r="M11" i="3"/>
  <c r="P10" i="3"/>
  <c r="M10" i="3"/>
  <c r="P9" i="3"/>
  <c r="M9" i="3"/>
  <c r="P8" i="3"/>
  <c r="P18" i="3" s="1"/>
  <c r="M8" i="3"/>
  <c r="H26" i="2"/>
  <c r="H25" i="2"/>
  <c r="C10" i="2"/>
  <c r="C9" i="2"/>
  <c r="C8" i="2"/>
  <c r="C7" i="2"/>
  <c r="C6" i="2"/>
  <c r="C5" i="2"/>
  <c r="C16" i="2" s="1"/>
  <c r="D19" i="2" s="1"/>
  <c r="M17" i="3" l="1"/>
  <c r="C12" i="2"/>
  <c r="C14" i="2"/>
</calcChain>
</file>

<file path=xl/sharedStrings.xml><?xml version="1.0" encoding="utf-8"?>
<sst xmlns="http://schemas.openxmlformats.org/spreadsheetml/2006/main" count="286" uniqueCount="58">
  <si>
    <t>Monthly Budget</t>
  </si>
  <si>
    <t>Category</t>
  </si>
  <si>
    <t>Amount</t>
  </si>
  <si>
    <t>Rent</t>
  </si>
  <si>
    <t>Phone</t>
  </si>
  <si>
    <t>Groceries</t>
  </si>
  <si>
    <t>(EO)</t>
  </si>
  <si>
    <t>Eating  Out</t>
  </si>
  <si>
    <t>(ENT)</t>
  </si>
  <si>
    <t>Entertainment</t>
  </si>
  <si>
    <t>Gas</t>
  </si>
  <si>
    <t>Gift</t>
  </si>
  <si>
    <t>Other</t>
  </si>
  <si>
    <t>Total</t>
  </si>
  <si>
    <t>Total (Besides R/P)</t>
  </si>
  <si>
    <t>Spending Money</t>
  </si>
  <si>
    <t>Remaining Avg per day</t>
  </si>
  <si>
    <t>Monthly Spending</t>
  </si>
  <si>
    <t>June</t>
  </si>
  <si>
    <t>Date</t>
  </si>
  <si>
    <t>Item</t>
  </si>
  <si>
    <t>Vendor</t>
  </si>
  <si>
    <t xml:space="preserve">Amount </t>
  </si>
  <si>
    <t>Cat</t>
  </si>
  <si>
    <t>Discover Check</t>
  </si>
  <si>
    <t>Red Card Check</t>
  </si>
  <si>
    <t>Month</t>
  </si>
  <si>
    <t>Avearge(Per Visit)</t>
  </si>
  <si>
    <t>Avearge</t>
  </si>
  <si>
    <t>Janurary</t>
  </si>
  <si>
    <t>Feburary</t>
  </si>
  <si>
    <t>March</t>
  </si>
  <si>
    <t xml:space="preserve">April </t>
  </si>
  <si>
    <t>May</t>
  </si>
  <si>
    <t>July</t>
  </si>
  <si>
    <t>August</t>
  </si>
  <si>
    <t>September</t>
  </si>
  <si>
    <t>October</t>
  </si>
  <si>
    <t>November</t>
  </si>
  <si>
    <t>December</t>
  </si>
  <si>
    <t>Average(Per Month)</t>
  </si>
  <si>
    <t>Yearly</t>
  </si>
  <si>
    <t>September - December</t>
  </si>
  <si>
    <t>Averages</t>
  </si>
  <si>
    <t>Eating Out (EO)</t>
  </si>
  <si>
    <t>Food (Groceries)</t>
  </si>
  <si>
    <t>Eating  Out (EO)</t>
  </si>
  <si>
    <t>RED Card</t>
  </si>
  <si>
    <t>April</t>
  </si>
  <si>
    <t>Total Spent</t>
  </si>
  <si>
    <t>Average</t>
  </si>
  <si>
    <t>NET</t>
  </si>
  <si>
    <t xml:space="preserve">March </t>
  </si>
  <si>
    <t>Total  NET</t>
  </si>
  <si>
    <t>Data Set</t>
  </si>
  <si>
    <t xml:space="preserve">Item </t>
  </si>
  <si>
    <t xml:space="preserve">Vendor </t>
  </si>
  <si>
    <t>Enter Monthly Amoun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</si>
</sst>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.00"/>
    <numFmt numFmtId="165" formatCode="dd\-mmm"/>
    <numFmt numFmtId="166" formatCode="[$-409]d\-mmm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/>
  </cellStyleXfs>
  <cellXfs count="48">
    <xf numFmtId="0" fontId="0" fillId="0" borderId="0" xfId="0"/>
    <xf numFmtId="0" fontId="3" fillId="0" borderId="0" xfId="0" applyFont="1"/>
    <xf numFmtId="164" fontId="0" fillId="0" borderId="0" xfId="0" applyNumberFormat="1"/>
    <xf numFmtId="0" fontId="4" fillId="0" borderId="1" xfId="0" applyFont="1" applyBorder="1"/>
    <xf numFmtId="0" fontId="0" fillId="0" borderId="2" xfId="0" applyBorder="1"/>
    <xf numFmtId="44" fontId="0" fillId="0" borderId="2" xfId="1" applyFont="1" applyBorder="1"/>
    <xf numFmtId="0" fontId="0" fillId="0" borderId="0" xfId="0" applyAlignment="1">
      <alignment horizontal="center"/>
    </xf>
    <xf numFmtId="0" fontId="0" fillId="0" borderId="3" xfId="0" applyBorder="1"/>
    <xf numFmtId="164" fontId="0" fillId="2" borderId="0" xfId="0" applyNumberFormat="1" applyFill="1"/>
    <xf numFmtId="0" fontId="5" fillId="0" borderId="0" xfId="0" applyFont="1"/>
    <xf numFmtId="0" fontId="2" fillId="0" borderId="0" xfId="0" applyFont="1"/>
    <xf numFmtId="4" fontId="0" fillId="0" borderId="0" xfId="0" applyNumberFormat="1"/>
    <xf numFmtId="0" fontId="0" fillId="0" borderId="4" xfId="0" applyBorder="1"/>
    <xf numFmtId="165" fontId="0" fillId="0" borderId="0" xfId="0" applyNumberFormat="1"/>
    <xf numFmtId="44" fontId="0" fillId="0" borderId="0" xfId="0" applyNumberFormat="1"/>
    <xf numFmtId="0" fontId="0" fillId="0" borderId="5" xfId="0" applyBorder="1"/>
    <xf numFmtId="44" fontId="0" fillId="0" borderId="0" xfId="1" applyFont="1"/>
    <xf numFmtId="0" fontId="0" fillId="0" borderId="6" xfId="0" applyBorder="1"/>
    <xf numFmtId="16" fontId="0" fillId="0" borderId="0" xfId="0" applyNumberFormat="1"/>
    <xf numFmtId="0" fontId="5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" fontId="0" fillId="0" borderId="11" xfId="0" applyNumberFormat="1" applyBorder="1"/>
    <xf numFmtId="44" fontId="0" fillId="0" borderId="11" xfId="1" applyFont="1" applyBorder="1"/>
    <xf numFmtId="0" fontId="0" fillId="0" borderId="11" xfId="0" applyBorder="1"/>
    <xf numFmtId="164" fontId="0" fillId="0" borderId="10" xfId="0" applyNumberFormat="1" applyBorder="1"/>
    <xf numFmtId="164" fontId="0" fillId="0" borderId="11" xfId="0" applyNumberFormat="1" applyBorder="1"/>
    <xf numFmtId="44" fontId="0" fillId="0" borderId="10" xfId="1" applyFont="1" applyBorder="1"/>
    <xf numFmtId="166" fontId="0" fillId="0" borderId="0" xfId="0" applyNumberFormat="1"/>
    <xf numFmtId="0" fontId="0" fillId="0" borderId="12" xfId="0" applyBorder="1"/>
    <xf numFmtId="44" fontId="0" fillId="0" borderId="13" xfId="1" applyFont="1" applyBorder="1"/>
    <xf numFmtId="44" fontId="0" fillId="0" borderId="14" xfId="1" applyFont="1" applyBorder="1"/>
    <xf numFmtId="166" fontId="0" fillId="0" borderId="15" xfId="0" applyNumberFormat="1" applyBorder="1"/>
    <xf numFmtId="166" fontId="0" fillId="0" borderId="16" xfId="0" applyNumberFormat="1" applyBorder="1"/>
    <xf numFmtId="44" fontId="0" fillId="0" borderId="4" xfId="1" applyFont="1" applyBorder="1"/>
    <xf numFmtId="0" fontId="0" fillId="0" borderId="17" xfId="0" applyBorder="1"/>
    <xf numFmtId="14" fontId="0" fillId="0" borderId="0" xfId="0" applyNumberFormat="1"/>
    <xf numFmtId="0" fontId="6" fillId="3" borderId="0" xfId="0" applyFont="1" applyFill="1"/>
    <xf numFmtId="0" fontId="6" fillId="4" borderId="0" xfId="0" applyFont="1" applyFill="1"/>
    <xf numFmtId="0" fontId="2" fillId="5" borderId="2" xfId="0" applyFont="1" applyFill="1" applyBorder="1"/>
    <xf numFmtId="0" fontId="0" fillId="5" borderId="2" xfId="0" applyFill="1" applyBorder="1"/>
    <xf numFmtId="44" fontId="0" fillId="5" borderId="2" xfId="1" applyFont="1" applyFill="1" applyBorder="1"/>
    <xf numFmtId="0" fontId="0" fillId="0" borderId="18" xfId="0" applyBorder="1"/>
    <xf numFmtId="164" fontId="2" fillId="0" borderId="0" xfId="0" applyNumberFormat="1" applyFont="1"/>
    <xf numFmtId="44" fontId="0" fillId="0" borderId="8" xfId="1" applyFont="1" applyBorder="1"/>
    <xf numFmtId="44" fontId="0" fillId="0" borderId="9" xfId="1" applyFont="1" applyBorder="1"/>
    <xf numFmtId="0" fontId="0" fillId="0" borderId="0" xfId="0" applyAlignment="1">
      <alignment horizontal="left"/>
    </xf>
  </cellXfs>
  <cellStyles count="2">
    <cellStyle name="Currency 2" xfId="1"/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Totals</a:t>
            </a:r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Yearly!$M$7</c:f>
              <c:strCache>
                <c:ptCount val="1"/>
                <c:pt idx="0">
                  <c:v>Amount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3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3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4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4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5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5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6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6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Yearly!$L$8:$L$15</c:f>
              <c:strCache>
                <c:ptCount val="8"/>
                <c:pt idx="0">
                  <c:v>Rent</c:v>
                </c:pt>
                <c:pt idx="1">
                  <c:v>Phone</c:v>
                </c:pt>
                <c:pt idx="2">
                  <c:v>Groceries</c:v>
                </c:pt>
                <c:pt idx="3">
                  <c:v>Eating  Out (EO)</c:v>
                </c:pt>
                <c:pt idx="4">
                  <c:v>Entertainment</c:v>
                </c:pt>
                <c:pt idx="5">
                  <c:v>Gas</c:v>
                </c:pt>
                <c:pt idx="6">
                  <c:v>Gift</c:v>
                </c:pt>
                <c:pt idx="7">
                  <c:v>Other</c:v>
                </c:pt>
              </c:strCache>
            </c:strRef>
          </c:cat>
          <c:val>
            <c:numRef>
              <c:f>Yearly!$M$8:$M$15</c:f>
              <c:numCache>
                <c:formatCode>_("$"* #,##0.00_);_("$"* \(#,##0.00\);_("$"*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US"/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Yearly!$P$6:$P$7</c:f>
              <c:strCache>
                <c:ptCount val="2"/>
                <c:pt idx="0">
                  <c:v>Averages</c:v>
                </c:pt>
                <c:pt idx="1">
                  <c:v>Amount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chemeClr val="accent4"/>
              </a:solidFill>
              <a:ln w="0">
                <a:solidFill>
                  <a:schemeClr val="lt1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  <a:prstDash val="solid"/>
              </a:ln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  <a:prstDash val="solid"/>
              </a:ln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  <a:prstDash val="solid"/>
              </a:ln>
            </c:spPr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Yearly!$O$8:$O$15</c:f>
              <c:strCache>
                <c:ptCount val="8"/>
                <c:pt idx="0">
                  <c:v>Rent</c:v>
                </c:pt>
                <c:pt idx="1">
                  <c:v>Phone</c:v>
                </c:pt>
                <c:pt idx="2">
                  <c:v>Groceries</c:v>
                </c:pt>
                <c:pt idx="3">
                  <c:v>Eating  Out (EO)</c:v>
                </c:pt>
                <c:pt idx="4">
                  <c:v>Entertainment</c:v>
                </c:pt>
                <c:pt idx="5">
                  <c:v>Gas</c:v>
                </c:pt>
                <c:pt idx="6">
                  <c:v>Gift</c:v>
                </c:pt>
                <c:pt idx="7">
                  <c:v>Other</c:v>
                </c:pt>
              </c:strCache>
            </c:strRef>
          </c:cat>
          <c:val>
            <c:numRef>
              <c:f>Yearly!$P$8:$P$15</c:f>
              <c:numCache>
                <c:formatCode>_("$"* #,##0.00_);_("$"* \(#,##0.00\);_("$"*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7068680541326395"/>
          <c:y val="0.25556461438262879"/>
          <c:w val="0.21939993560284521"/>
          <c:h val="0.498622249313112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ln>
                <a:noFill/>
                <a:prstDash val="solid"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Finances</a:t>
            </a:r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Monthly!$C$2</c:f>
              <c:strCache>
                <c:ptCount val="1"/>
                <c:pt idx="0">
                  <c:v>Amount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3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3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4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4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5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5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6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6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Monthly!$B$3:$B$10</c:f>
              <c:strCache>
                <c:ptCount val="8"/>
                <c:pt idx="0">
                  <c:v>Rent</c:v>
                </c:pt>
                <c:pt idx="1">
                  <c:v>Phone</c:v>
                </c:pt>
                <c:pt idx="2">
                  <c:v>Groceries</c:v>
                </c:pt>
                <c:pt idx="3">
                  <c:v>Eating  Out</c:v>
                </c:pt>
                <c:pt idx="4">
                  <c:v>Entertainment</c:v>
                </c:pt>
                <c:pt idx="5">
                  <c:v>Gas</c:v>
                </c:pt>
                <c:pt idx="6">
                  <c:v>Gift</c:v>
                </c:pt>
                <c:pt idx="7">
                  <c:v>Other</c:v>
                </c:pt>
              </c:strCache>
            </c:strRef>
          </c:cat>
          <c:val>
            <c:numRef>
              <c:f>Monthly!$C$3:$C$10</c:f>
              <c:numCache>
                <c:formatCode>_("$"* #,##0.00_);_("$"* \(#,##0.00\);_("$"* "-"??_);_(@_)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53</xdr:row>
      <xdr:rowOff>0</xdr:rowOff>
    </xdr:from>
    <xdr:to>
      <xdr:col>9</xdr:col>
      <xdr:colOff>523875</xdr:colOff>
      <xdr:row>74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704849</xdr:colOff>
      <xdr:row>53</xdr:row>
      <xdr:rowOff>33336</xdr:rowOff>
    </xdr:from>
    <xdr:to>
      <xdr:col>20</xdr:col>
      <xdr:colOff>314324</xdr:colOff>
      <xdr:row>74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28574</xdr:colOff>
      <xdr:row>1</xdr:row>
      <xdr:rowOff>28574</xdr:rowOff>
    </xdr:from>
    <xdr:to>
      <xdr:col>16</xdr:col>
      <xdr:colOff>146049</xdr:colOff>
      <xdr:row>21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pen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Set"/>
      <sheetName val="Monthly"/>
      <sheetName val="Yearly"/>
      <sheetName val="Groceries-Gas"/>
      <sheetName val="SHIPT"/>
      <sheetName val="Loans"/>
      <sheetName val="OUT-IN"/>
      <sheetName val="Sheet1"/>
      <sheetName val="Christmas"/>
      <sheetName val="Savings Bonds"/>
    </sheetNames>
    <sheetDataSet>
      <sheetData sheetId="0"/>
      <sheetData sheetId="1">
        <row r="2">
          <cell r="C2" t="str">
            <v>Amount</v>
          </cell>
        </row>
        <row r="3">
          <cell r="B3" t="str">
            <v>Rent</v>
          </cell>
          <cell r="C3">
            <v>675</v>
          </cell>
        </row>
        <row r="4">
          <cell r="B4" t="str">
            <v>Phone</v>
          </cell>
          <cell r="C4">
            <v>50</v>
          </cell>
        </row>
        <row r="5">
          <cell r="B5" t="str">
            <v>Groceries</v>
          </cell>
          <cell r="C5">
            <v>0</v>
          </cell>
        </row>
        <row r="6">
          <cell r="B6" t="str">
            <v>Eating  Out</v>
          </cell>
          <cell r="C6">
            <v>0</v>
          </cell>
        </row>
        <row r="7">
          <cell r="B7" t="str">
            <v>Entertainment</v>
          </cell>
          <cell r="C7">
            <v>0</v>
          </cell>
        </row>
        <row r="8">
          <cell r="B8" t="str">
            <v>Gas</v>
          </cell>
          <cell r="C8">
            <v>0</v>
          </cell>
        </row>
        <row r="9">
          <cell r="B9" t="str">
            <v>Gift</v>
          </cell>
          <cell r="C9">
            <v>0</v>
          </cell>
        </row>
        <row r="10">
          <cell r="B10" t="str">
            <v>Other</v>
          </cell>
          <cell r="C10">
            <v>0</v>
          </cell>
        </row>
      </sheetData>
      <sheetData sheetId="2">
        <row r="7">
          <cell r="M7" t="str">
            <v>Amount</v>
          </cell>
          <cell r="P7" t="str">
            <v>Amount</v>
          </cell>
        </row>
        <row r="8">
          <cell r="L8" t="str">
            <v>Rent</v>
          </cell>
          <cell r="M8">
            <v>3375</v>
          </cell>
          <cell r="O8" t="str">
            <v>Rent</v>
          </cell>
          <cell r="P8">
            <v>675</v>
          </cell>
        </row>
        <row r="9">
          <cell r="L9" t="str">
            <v>Phone</v>
          </cell>
          <cell r="M9">
            <v>250</v>
          </cell>
          <cell r="O9" t="str">
            <v>Phone</v>
          </cell>
          <cell r="P9">
            <v>50</v>
          </cell>
        </row>
        <row r="10">
          <cell r="L10" t="str">
            <v>Groceries</v>
          </cell>
          <cell r="M10">
            <v>872.44999999999982</v>
          </cell>
          <cell r="O10" t="str">
            <v>Groceries</v>
          </cell>
          <cell r="P10">
            <v>174.48999999999995</v>
          </cell>
        </row>
        <row r="11">
          <cell r="L11" t="str">
            <v>Eating  Out (EO)</v>
          </cell>
          <cell r="M11">
            <v>260.32</v>
          </cell>
          <cell r="O11" t="str">
            <v>Eating  Out (EO)</v>
          </cell>
          <cell r="P11">
            <v>52.064</v>
          </cell>
        </row>
        <row r="12">
          <cell r="L12" t="str">
            <v>Entertainment</v>
          </cell>
          <cell r="M12">
            <v>143</v>
          </cell>
          <cell r="O12" t="str">
            <v>Entertainment</v>
          </cell>
          <cell r="P12">
            <v>28.6</v>
          </cell>
        </row>
        <row r="13">
          <cell r="L13" t="str">
            <v>Gas</v>
          </cell>
          <cell r="M13">
            <v>145.36999999999998</v>
          </cell>
          <cell r="O13" t="str">
            <v>Gas</v>
          </cell>
          <cell r="P13">
            <v>29.073999999999995</v>
          </cell>
        </row>
        <row r="14">
          <cell r="L14" t="str">
            <v>Gift</v>
          </cell>
          <cell r="M14">
            <v>310.02999999999997</v>
          </cell>
          <cell r="O14" t="str">
            <v>Gift</v>
          </cell>
          <cell r="P14">
            <v>62.005999999999993</v>
          </cell>
        </row>
        <row r="15">
          <cell r="L15" t="str">
            <v>Other</v>
          </cell>
          <cell r="M15">
            <v>542.96</v>
          </cell>
          <cell r="O15" t="str">
            <v>Other</v>
          </cell>
          <cell r="P15">
            <v>108.59200000000001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6"/>
  <sheetViews>
    <sheetView workbookViewId="0">
      <selection activeCell="M17" sqref="M17"/>
    </sheetView>
  </sheetViews>
  <sheetFormatPr defaultRowHeight="14.5" x14ac:dyDescent="0.35"/>
  <cols>
    <col min="5" max="5" width="7.453125" bestFit="1" customWidth="1"/>
    <col min="6" max="6" width="15.1796875" customWidth="1"/>
    <col min="7" max="7" width="16.54296875" bestFit="1" customWidth="1"/>
    <col min="8" max="8" width="10.26953125" bestFit="1" customWidth="1"/>
    <col min="9" max="9" width="11.1796875" bestFit="1" customWidth="1"/>
    <col min="14" max="14" width="12.453125" customWidth="1"/>
    <col min="15" max="15" width="14" customWidth="1"/>
    <col min="16" max="16" width="5.81640625" customWidth="1"/>
    <col min="17" max="17" width="6.54296875" customWidth="1"/>
    <col min="18" max="18" width="7.453125" customWidth="1"/>
    <col min="19" max="19" width="10.7265625" customWidth="1"/>
    <col min="20" max="20" width="15" bestFit="1" customWidth="1"/>
    <col min="21" max="21" width="14" bestFit="1" customWidth="1"/>
    <col min="22" max="22" width="15" bestFit="1" customWidth="1"/>
    <col min="23" max="23" width="18.81640625" bestFit="1" customWidth="1"/>
    <col min="24" max="24" width="19.81640625" bestFit="1" customWidth="1"/>
  </cols>
  <sheetData>
    <row r="1" spans="1:14" x14ac:dyDescent="0.35">
      <c r="A1" t="s">
        <v>54</v>
      </c>
    </row>
    <row r="3" spans="1:14" x14ac:dyDescent="0.35">
      <c r="D3" s="10" t="s">
        <v>26</v>
      </c>
      <c r="E3" s="10" t="s">
        <v>19</v>
      </c>
      <c r="F3" s="10" t="s">
        <v>55</v>
      </c>
      <c r="G3" s="10" t="s">
        <v>56</v>
      </c>
      <c r="H3" s="10" t="s">
        <v>2</v>
      </c>
      <c r="I3" s="10" t="s">
        <v>1</v>
      </c>
    </row>
    <row r="4" spans="1:14" x14ac:dyDescent="0.35">
      <c r="E4" s="18"/>
      <c r="H4" s="16"/>
    </row>
    <row r="5" spans="1:14" x14ac:dyDescent="0.35">
      <c r="E5" s="18"/>
      <c r="H5" s="16"/>
      <c r="N5" s="47"/>
    </row>
    <row r="6" spans="1:14" x14ac:dyDescent="0.35">
      <c r="E6" s="18"/>
      <c r="H6" s="16"/>
      <c r="N6" s="47"/>
    </row>
    <row r="7" spans="1:14" x14ac:dyDescent="0.35">
      <c r="E7" s="18"/>
      <c r="H7" s="16"/>
      <c r="N7" s="47"/>
    </row>
    <row r="8" spans="1:14" x14ac:dyDescent="0.35">
      <c r="E8" s="18"/>
      <c r="H8" s="16"/>
      <c r="N8" s="47"/>
    </row>
    <row r="9" spans="1:14" x14ac:dyDescent="0.35">
      <c r="E9" s="18"/>
      <c r="H9" s="16"/>
      <c r="N9" s="47"/>
    </row>
    <row r="10" spans="1:14" x14ac:dyDescent="0.35">
      <c r="E10" s="18"/>
      <c r="H10" s="16"/>
    </row>
    <row r="11" spans="1:14" x14ac:dyDescent="0.35">
      <c r="E11" s="18"/>
      <c r="H11" s="16"/>
    </row>
    <row r="12" spans="1:14" x14ac:dyDescent="0.35">
      <c r="E12" s="18"/>
      <c r="H12" s="16"/>
    </row>
    <row r="13" spans="1:14" x14ac:dyDescent="0.35">
      <c r="E13" s="18"/>
      <c r="H13" s="16"/>
    </row>
    <row r="14" spans="1:14" x14ac:dyDescent="0.35">
      <c r="E14" s="18"/>
      <c r="H14" s="16"/>
    </row>
    <row r="15" spans="1:14" x14ac:dyDescent="0.35">
      <c r="E15" s="18"/>
      <c r="H15" s="16"/>
    </row>
    <row r="16" spans="1:14" x14ac:dyDescent="0.35">
      <c r="E16" s="18"/>
      <c r="H16" s="16"/>
    </row>
    <row r="17" spans="5:8" x14ac:dyDescent="0.35">
      <c r="E17" s="18"/>
      <c r="H17" s="16"/>
    </row>
    <row r="18" spans="5:8" x14ac:dyDescent="0.35">
      <c r="E18" s="18"/>
      <c r="H18" s="16"/>
    </row>
    <row r="19" spans="5:8" x14ac:dyDescent="0.35">
      <c r="E19" s="18"/>
      <c r="H19" s="16"/>
    </row>
    <row r="20" spans="5:8" x14ac:dyDescent="0.35">
      <c r="E20" s="29"/>
      <c r="H20" s="16"/>
    </row>
    <row r="21" spans="5:8" x14ac:dyDescent="0.35">
      <c r="E21" s="29"/>
      <c r="H21" s="16"/>
    </row>
    <row r="22" spans="5:8" x14ac:dyDescent="0.35">
      <c r="E22" s="29"/>
      <c r="H22" s="16"/>
    </row>
    <row r="23" spans="5:8" x14ac:dyDescent="0.35">
      <c r="E23" s="29"/>
      <c r="H23" s="16"/>
    </row>
    <row r="24" spans="5:8" x14ac:dyDescent="0.35">
      <c r="E24" s="29"/>
      <c r="H24" s="16"/>
    </row>
    <row r="25" spans="5:8" x14ac:dyDescent="0.35">
      <c r="E25" s="29"/>
      <c r="H25" s="16"/>
    </row>
    <row r="26" spans="5:8" x14ac:dyDescent="0.35">
      <c r="E26" s="29"/>
      <c r="H26" s="16"/>
    </row>
    <row r="27" spans="5:8" x14ac:dyDescent="0.35">
      <c r="E27" s="29"/>
      <c r="H27" s="16"/>
    </row>
    <row r="28" spans="5:8" x14ac:dyDescent="0.35">
      <c r="E28" s="18"/>
      <c r="H28" s="16"/>
    </row>
    <row r="29" spans="5:8" x14ac:dyDescent="0.35">
      <c r="E29" s="18"/>
      <c r="H29" s="16"/>
    </row>
    <row r="30" spans="5:8" x14ac:dyDescent="0.35">
      <c r="E30" s="18"/>
      <c r="H30" s="16"/>
    </row>
    <row r="31" spans="5:8" x14ac:dyDescent="0.35">
      <c r="E31" s="18"/>
      <c r="H31" s="16"/>
    </row>
    <row r="32" spans="5:8" x14ac:dyDescent="0.35">
      <c r="E32" s="18"/>
      <c r="H32" s="16"/>
    </row>
    <row r="33" spans="5:8" x14ac:dyDescent="0.35">
      <c r="E33" s="18"/>
      <c r="H33" s="16"/>
    </row>
    <row r="34" spans="5:8" x14ac:dyDescent="0.35">
      <c r="E34" s="18"/>
      <c r="H34" s="16"/>
    </row>
    <row r="35" spans="5:8" x14ac:dyDescent="0.35">
      <c r="E35" s="18"/>
      <c r="H35" s="16"/>
    </row>
    <row r="36" spans="5:8" x14ac:dyDescent="0.35">
      <c r="E36" s="18"/>
      <c r="H36" s="16"/>
    </row>
    <row r="37" spans="5:8" x14ac:dyDescent="0.35">
      <c r="E37" s="18"/>
      <c r="H37" s="16"/>
    </row>
    <row r="38" spans="5:8" x14ac:dyDescent="0.35">
      <c r="E38" s="18"/>
      <c r="H38" s="16"/>
    </row>
    <row r="39" spans="5:8" x14ac:dyDescent="0.35">
      <c r="E39" s="18"/>
      <c r="H39" s="16"/>
    </row>
    <row r="40" spans="5:8" x14ac:dyDescent="0.35">
      <c r="E40" s="18"/>
      <c r="H40" s="16"/>
    </row>
    <row r="41" spans="5:8" x14ac:dyDescent="0.35">
      <c r="E41" s="18"/>
      <c r="H41" s="16"/>
    </row>
    <row r="42" spans="5:8" x14ac:dyDescent="0.35">
      <c r="E42" s="18"/>
      <c r="H42" s="16"/>
    </row>
    <row r="43" spans="5:8" x14ac:dyDescent="0.35">
      <c r="E43" s="18"/>
      <c r="H43" s="16"/>
    </row>
    <row r="44" spans="5:8" x14ac:dyDescent="0.35">
      <c r="E44" s="29"/>
      <c r="H44" s="16"/>
    </row>
    <row r="45" spans="5:8" x14ac:dyDescent="0.35">
      <c r="E45" s="29"/>
      <c r="H45" s="16"/>
    </row>
    <row r="46" spans="5:8" x14ac:dyDescent="0.35">
      <c r="E46" s="29"/>
      <c r="H46" s="16"/>
    </row>
    <row r="47" spans="5:8" x14ac:dyDescent="0.35">
      <c r="E47" s="29"/>
      <c r="H47" s="16"/>
    </row>
    <row r="48" spans="5:8" x14ac:dyDescent="0.35">
      <c r="E48" s="29"/>
      <c r="H48" s="16"/>
    </row>
    <row r="49" spans="5:8" x14ac:dyDescent="0.35">
      <c r="E49" s="18"/>
      <c r="H49" s="16"/>
    </row>
    <row r="50" spans="5:8" x14ac:dyDescent="0.35">
      <c r="E50" s="18"/>
      <c r="H50" s="16"/>
    </row>
    <row r="51" spans="5:8" x14ac:dyDescent="0.35">
      <c r="E51" s="18"/>
      <c r="H51" s="16"/>
    </row>
    <row r="52" spans="5:8" x14ac:dyDescent="0.35">
      <c r="E52" s="18"/>
      <c r="H52" s="16"/>
    </row>
    <row r="53" spans="5:8" x14ac:dyDescent="0.35">
      <c r="E53" s="18"/>
      <c r="H53" s="16"/>
    </row>
    <row r="54" spans="5:8" x14ac:dyDescent="0.35">
      <c r="E54" s="18"/>
      <c r="H54" s="16"/>
    </row>
    <row r="55" spans="5:8" x14ac:dyDescent="0.35">
      <c r="E55" s="18"/>
      <c r="H55" s="16"/>
    </row>
    <row r="56" spans="5:8" x14ac:dyDescent="0.35">
      <c r="E56" s="18"/>
      <c r="H56" s="16"/>
    </row>
    <row r="57" spans="5:8" x14ac:dyDescent="0.35">
      <c r="E57" s="18"/>
      <c r="H57" s="16"/>
    </row>
    <row r="58" spans="5:8" x14ac:dyDescent="0.35">
      <c r="E58" s="18"/>
      <c r="H58" s="16"/>
    </row>
    <row r="59" spans="5:8" x14ac:dyDescent="0.35">
      <c r="E59" s="18"/>
      <c r="H59" s="16"/>
    </row>
    <row r="60" spans="5:8" x14ac:dyDescent="0.35">
      <c r="E60" s="18"/>
      <c r="H60" s="16"/>
    </row>
    <row r="61" spans="5:8" x14ac:dyDescent="0.35">
      <c r="E61" s="18"/>
      <c r="H61" s="16"/>
    </row>
    <row r="62" spans="5:8" x14ac:dyDescent="0.35">
      <c r="E62" s="18"/>
      <c r="H62" s="16"/>
    </row>
    <row r="63" spans="5:8" x14ac:dyDescent="0.35">
      <c r="E63" s="18"/>
      <c r="H63" s="16"/>
    </row>
    <row r="64" spans="5:8" x14ac:dyDescent="0.35">
      <c r="E64" s="18"/>
      <c r="H64" s="16"/>
    </row>
    <row r="65" spans="5:8" x14ac:dyDescent="0.35">
      <c r="E65" s="18"/>
      <c r="H65" s="16"/>
    </row>
    <row r="66" spans="5:8" x14ac:dyDescent="0.35">
      <c r="E66" s="18"/>
      <c r="H66" s="16"/>
    </row>
    <row r="67" spans="5:8" x14ac:dyDescent="0.35">
      <c r="E67" s="13"/>
      <c r="H67" s="14"/>
    </row>
    <row r="68" spans="5:8" x14ac:dyDescent="0.35">
      <c r="E68" s="13"/>
      <c r="H68" s="14"/>
    </row>
    <row r="69" spans="5:8" x14ac:dyDescent="0.35">
      <c r="E69" s="13"/>
      <c r="H69" s="14"/>
    </row>
    <row r="70" spans="5:8" x14ac:dyDescent="0.35">
      <c r="E70" s="13"/>
      <c r="H70" s="14"/>
    </row>
    <row r="71" spans="5:8" x14ac:dyDescent="0.35">
      <c r="E71" s="13"/>
      <c r="H71" s="14"/>
    </row>
    <row r="72" spans="5:8" x14ac:dyDescent="0.35">
      <c r="E72" s="13"/>
      <c r="H72" s="14"/>
    </row>
    <row r="73" spans="5:8" x14ac:dyDescent="0.35">
      <c r="E73" s="13"/>
      <c r="H73" s="14"/>
    </row>
    <row r="74" spans="5:8" x14ac:dyDescent="0.35">
      <c r="E74" s="13"/>
      <c r="H74" s="14"/>
    </row>
    <row r="75" spans="5:8" x14ac:dyDescent="0.35">
      <c r="E75" s="13"/>
      <c r="H75" s="14"/>
    </row>
    <row r="76" spans="5:8" x14ac:dyDescent="0.35">
      <c r="E76" s="13"/>
      <c r="H76" s="14"/>
    </row>
    <row r="77" spans="5:8" x14ac:dyDescent="0.35">
      <c r="E77" s="13"/>
      <c r="H77" s="14"/>
    </row>
    <row r="78" spans="5:8" x14ac:dyDescent="0.35">
      <c r="E78" s="13"/>
      <c r="H78" s="14"/>
    </row>
    <row r="79" spans="5:8" x14ac:dyDescent="0.35">
      <c r="E79" s="13"/>
      <c r="H79" s="14"/>
    </row>
    <row r="80" spans="5:8" x14ac:dyDescent="0.35">
      <c r="E80" s="13"/>
      <c r="H80" s="14"/>
    </row>
    <row r="81" spans="5:8" x14ac:dyDescent="0.35">
      <c r="E81" s="13"/>
      <c r="H81" s="14"/>
    </row>
    <row r="82" spans="5:8" x14ac:dyDescent="0.35">
      <c r="E82" s="13"/>
      <c r="H82" s="14"/>
    </row>
    <row r="83" spans="5:8" x14ac:dyDescent="0.35">
      <c r="E83" s="13"/>
      <c r="H83" s="14"/>
    </row>
    <row r="84" spans="5:8" x14ac:dyDescent="0.35">
      <c r="E84" s="13"/>
      <c r="H84" s="14"/>
    </row>
    <row r="85" spans="5:8" x14ac:dyDescent="0.35">
      <c r="E85" s="13"/>
      <c r="H85" s="14"/>
    </row>
    <row r="86" spans="5:8" x14ac:dyDescent="0.35">
      <c r="E86" s="13"/>
      <c r="H86" s="14"/>
    </row>
  </sheetData>
  <autoFilter ref="D3:I27">
    <sortState ref="D4:I14">
      <sortCondition ref="E3:E14"/>
    </sortState>
  </autoFilter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86"/>
  <sheetViews>
    <sheetView topLeftCell="E1" zoomScaleNormal="100" workbookViewId="0">
      <selection activeCell="M23" sqref="M23:O27"/>
    </sheetView>
  </sheetViews>
  <sheetFormatPr defaultRowHeight="14.5" x14ac:dyDescent="0.35"/>
  <cols>
    <col min="1" max="1" width="14.7265625" bestFit="1" customWidth="1"/>
    <col min="2" max="2" width="15.81640625" bestFit="1" customWidth="1"/>
    <col min="3" max="5" width="14.7265625" bestFit="1" customWidth="1"/>
    <col min="6" max="6" width="13.81640625" customWidth="1"/>
    <col min="7" max="8" width="14.7265625" bestFit="1" customWidth="1"/>
    <col min="9" max="9" width="13.54296875" bestFit="1" customWidth="1"/>
    <col min="11" max="11" width="10.81640625" bestFit="1" customWidth="1"/>
    <col min="12" max="13" width="14.7265625" bestFit="1" customWidth="1"/>
    <col min="14" max="14" width="18" bestFit="1" customWidth="1"/>
    <col min="15" max="15" width="15.81640625" bestFit="1" customWidth="1"/>
    <col min="16" max="16" width="10.54296875" bestFit="1" customWidth="1"/>
    <col min="17" max="17" width="10.26953125" bestFit="1" customWidth="1"/>
    <col min="18" max="18" width="16.54296875" bestFit="1" customWidth="1"/>
  </cols>
  <sheetData>
    <row r="1" spans="1:23" ht="21" customHeight="1" x14ac:dyDescent="0.5">
      <c r="A1" s="1" t="s">
        <v>41</v>
      </c>
    </row>
    <row r="2" spans="1:23" x14ac:dyDescent="0.35">
      <c r="L2" s="37"/>
    </row>
    <row r="3" spans="1:23" ht="17.149999999999999" customHeight="1" x14ac:dyDescent="0.5">
      <c r="B3" s="38" t="s">
        <v>29</v>
      </c>
      <c r="E3" s="39" t="s">
        <v>30</v>
      </c>
      <c r="H3" s="39" t="s">
        <v>31</v>
      </c>
    </row>
    <row r="4" spans="1:23" x14ac:dyDescent="0.35">
      <c r="B4" s="40" t="s">
        <v>1</v>
      </c>
      <c r="C4" s="40" t="s">
        <v>2</v>
      </c>
      <c r="E4" s="40" t="s">
        <v>1</v>
      </c>
      <c r="F4" s="40" t="s">
        <v>2</v>
      </c>
      <c r="H4" s="40" t="s">
        <v>1</v>
      </c>
      <c r="I4" s="40" t="s">
        <v>2</v>
      </c>
    </row>
    <row r="5" spans="1:23" x14ac:dyDescent="0.35">
      <c r="B5" s="41" t="s">
        <v>3</v>
      </c>
      <c r="C5" s="42"/>
      <c r="E5" s="41" t="s">
        <v>3</v>
      </c>
      <c r="F5" s="42"/>
      <c r="H5" s="41" t="s">
        <v>3</v>
      </c>
      <c r="I5" s="42"/>
      <c r="S5" t="s">
        <v>42</v>
      </c>
    </row>
    <row r="6" spans="1:23" x14ac:dyDescent="0.35">
      <c r="B6" s="41" t="s">
        <v>4</v>
      </c>
      <c r="C6" s="42"/>
      <c r="E6" s="41" t="s">
        <v>4</v>
      </c>
      <c r="F6" s="42"/>
      <c r="H6" s="41" t="s">
        <v>4</v>
      </c>
      <c r="I6" s="42"/>
      <c r="L6" t="s">
        <v>13</v>
      </c>
      <c r="O6" t="s">
        <v>43</v>
      </c>
      <c r="S6" t="s">
        <v>13</v>
      </c>
      <c r="V6" t="s">
        <v>43</v>
      </c>
    </row>
    <row r="7" spans="1:23" x14ac:dyDescent="0.35">
      <c r="B7" s="41" t="s">
        <v>5</v>
      </c>
      <c r="C7" s="42"/>
      <c r="E7" s="41" t="s">
        <v>5</v>
      </c>
      <c r="F7" s="42"/>
      <c r="H7" s="41" t="s">
        <v>5</v>
      </c>
      <c r="I7" s="42"/>
      <c r="L7" s="43" t="s">
        <v>1</v>
      </c>
      <c r="M7" s="21" t="s">
        <v>2</v>
      </c>
      <c r="O7" s="43" t="s">
        <v>1</v>
      </c>
      <c r="P7" s="21" t="s">
        <v>2</v>
      </c>
      <c r="S7" t="s">
        <v>1</v>
      </c>
      <c r="T7" t="s">
        <v>2</v>
      </c>
      <c r="V7" t="s">
        <v>1</v>
      </c>
      <c r="W7" t="s">
        <v>2</v>
      </c>
    </row>
    <row r="8" spans="1:23" x14ac:dyDescent="0.35">
      <c r="B8" s="41" t="s">
        <v>44</v>
      </c>
      <c r="C8" s="42"/>
      <c r="E8" s="41" t="s">
        <v>44</v>
      </c>
      <c r="F8" s="42"/>
      <c r="H8" s="41" t="s">
        <v>44</v>
      </c>
      <c r="I8" s="42"/>
      <c r="L8" s="22" t="s">
        <v>3</v>
      </c>
      <c r="M8" s="24">
        <f t="shared" ref="M8:M15" si="0">SUM(C5,F5,I5,F17,C17,I17,C29,F29,I29,C41,F41,I41)</f>
        <v>0</v>
      </c>
      <c r="O8" s="22" t="s">
        <v>3</v>
      </c>
      <c r="P8" s="24" t="e">
        <f t="shared" ref="P8:P15" si="1">AVERAGE(C5,F5,I5,F17,C17,I17,C29,F29,I29,C41,F41,I41)</f>
        <v>#DIV/0!</v>
      </c>
      <c r="S8" t="s">
        <v>3</v>
      </c>
      <c r="T8">
        <v>2700</v>
      </c>
      <c r="V8" t="s">
        <v>3</v>
      </c>
      <c r="W8">
        <v>675</v>
      </c>
    </row>
    <row r="9" spans="1:23" x14ac:dyDescent="0.35">
      <c r="B9" s="41" t="s">
        <v>9</v>
      </c>
      <c r="C9" s="42"/>
      <c r="E9" s="41" t="s">
        <v>9</v>
      </c>
      <c r="F9" s="42"/>
      <c r="H9" s="41" t="s">
        <v>9</v>
      </c>
      <c r="I9" s="42"/>
      <c r="L9" s="22" t="s">
        <v>4</v>
      </c>
      <c r="M9" s="24">
        <f t="shared" si="0"/>
        <v>0</v>
      </c>
      <c r="O9" s="22" t="s">
        <v>4</v>
      </c>
      <c r="P9" s="24" t="e">
        <f t="shared" si="1"/>
        <v>#DIV/0!</v>
      </c>
      <c r="S9" t="s">
        <v>4</v>
      </c>
      <c r="T9">
        <v>200</v>
      </c>
      <c r="V9" t="s">
        <v>4</v>
      </c>
      <c r="W9">
        <v>50</v>
      </c>
    </row>
    <row r="10" spans="1:23" x14ac:dyDescent="0.35">
      <c r="B10" s="41" t="s">
        <v>10</v>
      </c>
      <c r="C10" s="42"/>
      <c r="E10" s="41" t="s">
        <v>10</v>
      </c>
      <c r="F10" s="42"/>
      <c r="H10" s="41" t="s">
        <v>10</v>
      </c>
      <c r="I10" s="42"/>
      <c r="L10" s="22" t="s">
        <v>5</v>
      </c>
      <c r="M10" s="24">
        <f t="shared" si="0"/>
        <v>0</v>
      </c>
      <c r="O10" s="22" t="s">
        <v>5</v>
      </c>
      <c r="P10" s="24" t="e">
        <f t="shared" si="1"/>
        <v>#DIV/0!</v>
      </c>
      <c r="S10" t="s">
        <v>45</v>
      </c>
      <c r="T10">
        <v>1132.54</v>
      </c>
      <c r="V10" t="s">
        <v>45</v>
      </c>
      <c r="W10">
        <v>283.13499999999999</v>
      </c>
    </row>
    <row r="11" spans="1:23" x14ac:dyDescent="0.35">
      <c r="B11" s="41" t="s">
        <v>11</v>
      </c>
      <c r="C11" s="42"/>
      <c r="E11" s="41" t="s">
        <v>11</v>
      </c>
      <c r="F11" s="42"/>
      <c r="H11" s="41" t="s">
        <v>11</v>
      </c>
      <c r="I11" s="42"/>
      <c r="L11" s="22" t="s">
        <v>46</v>
      </c>
      <c r="M11" s="24">
        <f t="shared" si="0"/>
        <v>0</v>
      </c>
      <c r="O11" s="22" t="s">
        <v>46</v>
      </c>
      <c r="P11" s="24" t="e">
        <f t="shared" si="1"/>
        <v>#DIV/0!</v>
      </c>
      <c r="S11" t="s">
        <v>46</v>
      </c>
      <c r="T11">
        <v>425.75</v>
      </c>
      <c r="V11" t="s">
        <v>46</v>
      </c>
      <c r="W11">
        <v>106.4375</v>
      </c>
    </row>
    <row r="12" spans="1:23" x14ac:dyDescent="0.35">
      <c r="B12" s="41" t="s">
        <v>12</v>
      </c>
      <c r="C12" s="42"/>
      <c r="E12" s="41" t="s">
        <v>12</v>
      </c>
      <c r="F12" s="42"/>
      <c r="H12" s="41" t="s">
        <v>12</v>
      </c>
      <c r="I12" s="42"/>
      <c r="L12" s="22" t="s">
        <v>9</v>
      </c>
      <c r="M12" s="24">
        <f t="shared" si="0"/>
        <v>0</v>
      </c>
      <c r="O12" s="22" t="s">
        <v>9</v>
      </c>
      <c r="P12" s="24" t="e">
        <f t="shared" si="1"/>
        <v>#DIV/0!</v>
      </c>
      <c r="S12" t="s">
        <v>9</v>
      </c>
      <c r="T12">
        <v>112.38</v>
      </c>
      <c r="V12" t="s">
        <v>9</v>
      </c>
      <c r="W12">
        <v>28.094999999999999</v>
      </c>
    </row>
    <row r="13" spans="1:23" x14ac:dyDescent="0.35">
      <c r="L13" s="22" t="s">
        <v>10</v>
      </c>
      <c r="M13" s="24">
        <f t="shared" si="0"/>
        <v>0</v>
      </c>
      <c r="O13" s="22" t="s">
        <v>10</v>
      </c>
      <c r="P13" s="24" t="e">
        <f t="shared" si="1"/>
        <v>#DIV/0!</v>
      </c>
      <c r="S13" t="s">
        <v>47</v>
      </c>
      <c r="T13">
        <v>45.12</v>
      </c>
      <c r="V13" t="s">
        <v>47</v>
      </c>
      <c r="W13">
        <v>11.28</v>
      </c>
    </row>
    <row r="14" spans="1:23" x14ac:dyDescent="0.35">
      <c r="L14" s="22" t="s">
        <v>11</v>
      </c>
      <c r="M14" s="24">
        <f t="shared" si="0"/>
        <v>0</v>
      </c>
      <c r="O14" s="22" t="s">
        <v>11</v>
      </c>
      <c r="P14" s="24" t="e">
        <f t="shared" si="1"/>
        <v>#DIV/0!</v>
      </c>
      <c r="S14" t="s">
        <v>10</v>
      </c>
      <c r="T14">
        <v>141.86000000000001</v>
      </c>
      <c r="V14" t="s">
        <v>10</v>
      </c>
      <c r="W14">
        <v>35.465000000000003</v>
      </c>
    </row>
    <row r="15" spans="1:23" ht="17.149999999999999" customHeight="1" x14ac:dyDescent="0.5">
      <c r="B15" s="39" t="s">
        <v>48</v>
      </c>
      <c r="E15" s="39" t="s">
        <v>33</v>
      </c>
      <c r="H15" s="39" t="s">
        <v>18</v>
      </c>
      <c r="L15" s="30" t="s">
        <v>12</v>
      </c>
      <c r="M15" s="32">
        <f t="shared" si="0"/>
        <v>0</v>
      </c>
      <c r="O15" s="30" t="s">
        <v>12</v>
      </c>
      <c r="P15" s="32" t="e">
        <f t="shared" si="1"/>
        <v>#DIV/0!</v>
      </c>
      <c r="S15" t="s">
        <v>12</v>
      </c>
      <c r="T15">
        <v>210.89</v>
      </c>
      <c r="V15" t="s">
        <v>12</v>
      </c>
      <c r="W15">
        <v>52.722499999999997</v>
      </c>
    </row>
    <row r="16" spans="1:23" x14ac:dyDescent="0.35">
      <c r="B16" s="40" t="s">
        <v>1</v>
      </c>
      <c r="C16" s="40" t="s">
        <v>2</v>
      </c>
      <c r="E16" s="40" t="s">
        <v>1</v>
      </c>
      <c r="F16" s="40" t="s">
        <v>2</v>
      </c>
      <c r="H16" s="40" t="s">
        <v>1</v>
      </c>
      <c r="I16" s="40" t="s">
        <v>2</v>
      </c>
      <c r="M16" s="16"/>
    </row>
    <row r="17" spans="2:23" x14ac:dyDescent="0.35">
      <c r="B17" s="41" t="s">
        <v>3</v>
      </c>
      <c r="C17" s="42"/>
      <c r="E17" s="41" t="s">
        <v>3</v>
      </c>
      <c r="F17" s="42"/>
      <c r="H17" s="41" t="s">
        <v>3</v>
      </c>
      <c r="I17" s="42"/>
      <c r="L17" t="s">
        <v>49</v>
      </c>
      <c r="M17" s="16">
        <f>SUM(M8:M15)</f>
        <v>0</v>
      </c>
      <c r="O17" t="s">
        <v>50</v>
      </c>
      <c r="P17" s="14" t="e">
        <f>AVERAGE(M23:M34)</f>
        <v>#DIV/0!</v>
      </c>
      <c r="S17" t="s">
        <v>49</v>
      </c>
      <c r="T17">
        <v>4968.54</v>
      </c>
      <c r="V17" t="s">
        <v>50</v>
      </c>
      <c r="W17">
        <v>993.70799999999997</v>
      </c>
    </row>
    <row r="18" spans="2:23" x14ac:dyDescent="0.35">
      <c r="B18" s="41" t="s">
        <v>4</v>
      </c>
      <c r="C18" s="42"/>
      <c r="E18" s="41" t="s">
        <v>4</v>
      </c>
      <c r="F18" s="42"/>
      <c r="H18" s="41" t="s">
        <v>4</v>
      </c>
      <c r="I18" s="42"/>
      <c r="P18" s="14" t="e">
        <f>SUM(P8:P15)</f>
        <v>#DIV/0!</v>
      </c>
      <c r="W18">
        <v>1242.135</v>
      </c>
    </row>
    <row r="19" spans="2:23" x14ac:dyDescent="0.35">
      <c r="B19" s="41" t="s">
        <v>5</v>
      </c>
      <c r="C19" s="42"/>
      <c r="E19" s="41" t="s">
        <v>5</v>
      </c>
      <c r="F19" s="42"/>
      <c r="H19" s="41" t="s">
        <v>5</v>
      </c>
      <c r="I19" s="42"/>
    </row>
    <row r="20" spans="2:23" x14ac:dyDescent="0.35">
      <c r="B20" s="41" t="s">
        <v>44</v>
      </c>
      <c r="C20" s="42"/>
      <c r="E20" s="41" t="s">
        <v>44</v>
      </c>
      <c r="F20" s="42"/>
      <c r="H20" s="41" t="s">
        <v>44</v>
      </c>
      <c r="I20" s="42"/>
    </row>
    <row r="21" spans="2:23" x14ac:dyDescent="0.35">
      <c r="B21" s="41" t="s">
        <v>9</v>
      </c>
      <c r="C21" s="42"/>
      <c r="E21" s="41" t="s">
        <v>9</v>
      </c>
      <c r="F21" s="42"/>
      <c r="H21" s="41" t="s">
        <v>9</v>
      </c>
      <c r="I21" s="42"/>
    </row>
    <row r="22" spans="2:23" x14ac:dyDescent="0.35">
      <c r="B22" s="41" t="s">
        <v>10</v>
      </c>
      <c r="C22" s="42"/>
      <c r="E22" s="41" t="s">
        <v>10</v>
      </c>
      <c r="F22" s="42"/>
      <c r="H22" s="41" t="s">
        <v>10</v>
      </c>
      <c r="I22" s="42"/>
      <c r="L22" s="10" t="s">
        <v>26</v>
      </c>
      <c r="M22" s="44" t="s">
        <v>49</v>
      </c>
      <c r="N22" s="44" t="s">
        <v>14</v>
      </c>
      <c r="O22" s="44" t="s">
        <v>51</v>
      </c>
      <c r="S22" t="s">
        <v>26</v>
      </c>
      <c r="T22" t="s">
        <v>49</v>
      </c>
      <c r="U22" t="s">
        <v>14</v>
      </c>
      <c r="V22" t="s">
        <v>51</v>
      </c>
    </row>
    <row r="23" spans="2:23" x14ac:dyDescent="0.35">
      <c r="B23" s="41" t="s">
        <v>11</v>
      </c>
      <c r="C23" s="42"/>
      <c r="E23" s="41" t="s">
        <v>11</v>
      </c>
      <c r="F23" s="42"/>
      <c r="H23" s="41" t="s">
        <v>11</v>
      </c>
      <c r="I23" s="42"/>
      <c r="L23" s="43" t="s">
        <v>29</v>
      </c>
      <c r="M23" s="45"/>
      <c r="N23" s="45"/>
      <c r="O23" s="46"/>
      <c r="S23" t="s">
        <v>29</v>
      </c>
      <c r="T23">
        <v>0</v>
      </c>
    </row>
    <row r="24" spans="2:23" x14ac:dyDescent="0.35">
      <c r="B24" s="41" t="s">
        <v>12</v>
      </c>
      <c r="C24" s="42"/>
      <c r="E24" s="41" t="s">
        <v>12</v>
      </c>
      <c r="F24" s="42"/>
      <c r="H24" s="41" t="s">
        <v>12</v>
      </c>
      <c r="I24" s="42"/>
      <c r="L24" s="22" t="s">
        <v>30</v>
      </c>
      <c r="M24" s="14"/>
      <c r="N24" s="16"/>
      <c r="O24" s="24"/>
      <c r="S24" t="s">
        <v>30</v>
      </c>
    </row>
    <row r="25" spans="2:23" x14ac:dyDescent="0.35">
      <c r="L25" s="22" t="s">
        <v>52</v>
      </c>
      <c r="M25" s="14"/>
      <c r="N25" s="16"/>
      <c r="O25" s="24"/>
      <c r="S25" t="s">
        <v>52</v>
      </c>
    </row>
    <row r="26" spans="2:23" x14ac:dyDescent="0.35">
      <c r="L26" s="22" t="s">
        <v>32</v>
      </c>
      <c r="M26" s="14"/>
      <c r="N26" s="16"/>
      <c r="O26" s="24"/>
      <c r="S26" t="s">
        <v>32</v>
      </c>
    </row>
    <row r="27" spans="2:23" ht="17.149999999999999" customHeight="1" x14ac:dyDescent="0.5">
      <c r="B27" s="39" t="s">
        <v>34</v>
      </c>
      <c r="E27" s="39" t="s">
        <v>35</v>
      </c>
      <c r="H27" s="39" t="s">
        <v>36</v>
      </c>
      <c r="L27" s="22" t="s">
        <v>33</v>
      </c>
      <c r="M27" s="14"/>
      <c r="N27" s="16"/>
      <c r="O27" s="24"/>
      <c r="S27" t="s">
        <v>33</v>
      </c>
    </row>
    <row r="28" spans="2:23" x14ac:dyDescent="0.35">
      <c r="B28" s="40" t="s">
        <v>1</v>
      </c>
      <c r="C28" s="40" t="s">
        <v>2</v>
      </c>
      <c r="E28" s="40" t="s">
        <v>1</v>
      </c>
      <c r="F28" s="40" t="s">
        <v>2</v>
      </c>
      <c r="H28" s="40" t="s">
        <v>1</v>
      </c>
      <c r="I28" s="40" t="s">
        <v>2</v>
      </c>
      <c r="L28" s="22" t="s">
        <v>18</v>
      </c>
      <c r="M28" s="16"/>
      <c r="N28" s="16"/>
      <c r="O28" s="24"/>
      <c r="S28" t="s">
        <v>18</v>
      </c>
    </row>
    <row r="29" spans="2:23" x14ac:dyDescent="0.35">
      <c r="B29" s="41" t="s">
        <v>3</v>
      </c>
      <c r="C29" s="42"/>
      <c r="E29" s="41" t="s">
        <v>3</v>
      </c>
      <c r="F29" s="42"/>
      <c r="H29" s="41" t="s">
        <v>3</v>
      </c>
      <c r="I29" s="42"/>
      <c r="L29" s="22" t="s">
        <v>34</v>
      </c>
      <c r="M29" s="16"/>
      <c r="N29" s="16"/>
      <c r="O29" s="24"/>
      <c r="S29" t="s">
        <v>34</v>
      </c>
    </row>
    <row r="30" spans="2:23" x14ac:dyDescent="0.35">
      <c r="B30" s="41" t="s">
        <v>4</v>
      </c>
      <c r="C30" s="42"/>
      <c r="E30" s="41" t="s">
        <v>4</v>
      </c>
      <c r="F30" s="42"/>
      <c r="H30" s="41" t="s">
        <v>4</v>
      </c>
      <c r="I30" s="42"/>
      <c r="L30" s="22" t="s">
        <v>35</v>
      </c>
      <c r="M30" s="16"/>
      <c r="N30" s="16"/>
      <c r="O30" s="24"/>
      <c r="S30" t="s">
        <v>35</v>
      </c>
    </row>
    <row r="31" spans="2:23" x14ac:dyDescent="0.35">
      <c r="B31" s="41" t="s">
        <v>5</v>
      </c>
      <c r="C31" s="42"/>
      <c r="E31" s="41" t="s">
        <v>5</v>
      </c>
      <c r="F31" s="42"/>
      <c r="H31" s="41" t="s">
        <v>5</v>
      </c>
      <c r="I31" s="42"/>
      <c r="L31" s="22" t="s">
        <v>36</v>
      </c>
      <c r="M31" s="16"/>
      <c r="N31" s="16"/>
      <c r="O31" s="24"/>
      <c r="S31" t="s">
        <v>36</v>
      </c>
      <c r="T31">
        <v>1205.8900000000001</v>
      </c>
      <c r="U31">
        <v>480.89</v>
      </c>
      <c r="V31">
        <v>-5.89</v>
      </c>
    </row>
    <row r="32" spans="2:23" x14ac:dyDescent="0.35">
      <c r="B32" s="41" t="s">
        <v>44</v>
      </c>
      <c r="C32" s="42"/>
      <c r="E32" s="41" t="s">
        <v>44</v>
      </c>
      <c r="F32" s="42"/>
      <c r="H32" s="41" t="s">
        <v>44</v>
      </c>
      <c r="I32" s="42"/>
      <c r="L32" s="22" t="s">
        <v>37</v>
      </c>
      <c r="M32" s="16"/>
      <c r="N32" s="16"/>
      <c r="O32" s="24"/>
      <c r="S32" t="s">
        <v>37</v>
      </c>
      <c r="T32">
        <v>1293.23</v>
      </c>
      <c r="U32">
        <v>568.23</v>
      </c>
      <c r="V32">
        <v>-93.230000000000018</v>
      </c>
    </row>
    <row r="33" spans="2:22" x14ac:dyDescent="0.35">
      <c r="B33" s="41" t="s">
        <v>9</v>
      </c>
      <c r="C33" s="42"/>
      <c r="E33" s="41" t="s">
        <v>9</v>
      </c>
      <c r="F33" s="42"/>
      <c r="H33" s="41" t="s">
        <v>9</v>
      </c>
      <c r="I33" s="42"/>
      <c r="L33" s="22" t="s">
        <v>38</v>
      </c>
      <c r="M33" s="16"/>
      <c r="N33" s="16"/>
      <c r="O33" s="24"/>
      <c r="S33" t="s">
        <v>38</v>
      </c>
      <c r="T33">
        <v>1183.3499999999999</v>
      </c>
      <c r="U33">
        <v>458.35</v>
      </c>
      <c r="V33">
        <v>16.650000000000031</v>
      </c>
    </row>
    <row r="34" spans="2:22" x14ac:dyDescent="0.35">
      <c r="B34" s="41" t="s">
        <v>10</v>
      </c>
      <c r="C34" s="42"/>
      <c r="E34" s="41" t="s">
        <v>10</v>
      </c>
      <c r="F34" s="42"/>
      <c r="H34" s="41" t="s">
        <v>10</v>
      </c>
      <c r="I34" s="42"/>
      <c r="L34" s="30" t="s">
        <v>39</v>
      </c>
      <c r="M34" s="31"/>
      <c r="N34" s="31"/>
      <c r="O34" s="32"/>
      <c r="S34" t="s">
        <v>39</v>
      </c>
      <c r="T34">
        <v>1286.07</v>
      </c>
      <c r="U34">
        <v>561.07000000000005</v>
      </c>
      <c r="V34">
        <v>-86.07000000000005</v>
      </c>
    </row>
    <row r="35" spans="2:22" x14ac:dyDescent="0.35">
      <c r="B35" s="41" t="s">
        <v>11</v>
      </c>
      <c r="C35" s="42"/>
      <c r="E35" s="41" t="s">
        <v>11</v>
      </c>
      <c r="F35" s="42"/>
      <c r="H35" s="41" t="s">
        <v>11</v>
      </c>
      <c r="I35" s="42"/>
      <c r="N35" t="s">
        <v>53</v>
      </c>
      <c r="O35" s="14">
        <f>SUM(O23:O34)</f>
        <v>0</v>
      </c>
      <c r="U35" t="s">
        <v>53</v>
      </c>
      <c r="V35">
        <v>-168.54</v>
      </c>
    </row>
    <row r="36" spans="2:22" x14ac:dyDescent="0.35">
      <c r="B36" s="41" t="s">
        <v>12</v>
      </c>
      <c r="C36" s="42"/>
      <c r="E36" s="41" t="s">
        <v>12</v>
      </c>
      <c r="F36" s="42"/>
      <c r="H36" s="41" t="s">
        <v>12</v>
      </c>
      <c r="I36" s="42"/>
    </row>
    <row r="37" spans="2:22" x14ac:dyDescent="0.35">
      <c r="C37" s="16"/>
    </row>
    <row r="39" spans="2:22" ht="17.149999999999999" customHeight="1" x14ac:dyDescent="0.5">
      <c r="B39" s="39" t="s">
        <v>37</v>
      </c>
      <c r="E39" s="39" t="s">
        <v>38</v>
      </c>
      <c r="H39" s="39" t="s">
        <v>39</v>
      </c>
    </row>
    <row r="40" spans="2:22" x14ac:dyDescent="0.35">
      <c r="B40" s="41" t="s">
        <v>1</v>
      </c>
      <c r="C40" s="40" t="s">
        <v>2</v>
      </c>
      <c r="E40" s="40" t="s">
        <v>1</v>
      </c>
      <c r="F40" s="40" t="s">
        <v>2</v>
      </c>
      <c r="H40" s="40" t="s">
        <v>1</v>
      </c>
      <c r="I40" s="40" t="s">
        <v>2</v>
      </c>
    </row>
    <row r="41" spans="2:22" x14ac:dyDescent="0.35">
      <c r="B41" s="41" t="s">
        <v>3</v>
      </c>
      <c r="C41" s="42"/>
      <c r="E41" s="41" t="s">
        <v>3</v>
      </c>
      <c r="F41" s="42"/>
      <c r="H41" s="41" t="s">
        <v>3</v>
      </c>
      <c r="I41" s="42"/>
    </row>
    <row r="42" spans="2:22" x14ac:dyDescent="0.35">
      <c r="B42" s="41" t="s">
        <v>4</v>
      </c>
      <c r="C42" s="42"/>
      <c r="E42" s="41" t="s">
        <v>4</v>
      </c>
      <c r="F42" s="42"/>
      <c r="H42" s="41" t="s">
        <v>4</v>
      </c>
      <c r="I42" s="42"/>
    </row>
    <row r="43" spans="2:22" x14ac:dyDescent="0.35">
      <c r="B43" s="41" t="s">
        <v>5</v>
      </c>
      <c r="C43" s="42"/>
      <c r="E43" s="41" t="s">
        <v>5</v>
      </c>
      <c r="F43" s="42"/>
      <c r="H43" s="41" t="s">
        <v>5</v>
      </c>
      <c r="I43" s="42"/>
    </row>
    <row r="44" spans="2:22" x14ac:dyDescent="0.35">
      <c r="B44" s="41" t="s">
        <v>44</v>
      </c>
      <c r="C44" s="42"/>
      <c r="E44" s="41" t="s">
        <v>44</v>
      </c>
      <c r="F44" s="42"/>
      <c r="H44" s="41" t="s">
        <v>44</v>
      </c>
      <c r="I44" s="42"/>
    </row>
    <row r="45" spans="2:22" x14ac:dyDescent="0.35">
      <c r="B45" s="41" t="s">
        <v>9</v>
      </c>
      <c r="C45" s="42"/>
      <c r="E45" s="41" t="s">
        <v>9</v>
      </c>
      <c r="F45" s="42"/>
      <c r="H45" s="41" t="s">
        <v>9</v>
      </c>
      <c r="I45" s="42"/>
    </row>
    <row r="46" spans="2:22" x14ac:dyDescent="0.35">
      <c r="B46" s="41" t="s">
        <v>10</v>
      </c>
      <c r="C46" s="42"/>
      <c r="E46" s="41" t="s">
        <v>10</v>
      </c>
      <c r="F46" s="42"/>
      <c r="H46" s="41" t="s">
        <v>10</v>
      </c>
      <c r="I46" s="42"/>
    </row>
    <row r="47" spans="2:22" x14ac:dyDescent="0.35">
      <c r="B47" s="41" t="s">
        <v>11</v>
      </c>
      <c r="C47" s="42"/>
      <c r="E47" s="41" t="s">
        <v>11</v>
      </c>
      <c r="F47" s="42"/>
      <c r="H47" s="41" t="s">
        <v>11</v>
      </c>
      <c r="I47" s="42"/>
    </row>
    <row r="48" spans="2:22" x14ac:dyDescent="0.35">
      <c r="B48" s="41" t="s">
        <v>12</v>
      </c>
      <c r="C48" s="42"/>
      <c r="E48" s="41" t="s">
        <v>12</v>
      </c>
      <c r="F48" s="42"/>
      <c r="H48" s="41" t="s">
        <v>12</v>
      </c>
      <c r="I48" s="42"/>
    </row>
    <row r="49" spans="3:3" x14ac:dyDescent="0.35">
      <c r="C49" s="16"/>
    </row>
    <row r="79" spans="8:8" x14ac:dyDescent="0.35">
      <c r="H79" s="2"/>
    </row>
    <row r="80" spans="8:8" x14ac:dyDescent="0.35">
      <c r="H80" s="2"/>
    </row>
    <row r="81" spans="8:8" x14ac:dyDescent="0.35">
      <c r="H81" s="2"/>
    </row>
    <row r="82" spans="8:8" x14ac:dyDescent="0.35">
      <c r="H82" s="2"/>
    </row>
    <row r="83" spans="8:8" x14ac:dyDescent="0.35">
      <c r="H83" s="2"/>
    </row>
    <row r="84" spans="8:8" x14ac:dyDescent="0.35">
      <c r="H84" s="2"/>
    </row>
    <row r="85" spans="8:8" x14ac:dyDescent="0.35">
      <c r="H85" s="2"/>
    </row>
    <row r="86" spans="8:8" x14ac:dyDescent="0.35">
      <c r="H86" s="2"/>
    </row>
  </sheetData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5"/>
  <sheetViews>
    <sheetView tabSelected="1" zoomScaleNormal="100" workbookViewId="0">
      <selection activeCell="C16" sqref="C16"/>
    </sheetView>
  </sheetViews>
  <sheetFormatPr defaultRowHeight="14.5" x14ac:dyDescent="0.35"/>
  <cols>
    <col min="1" max="1" width="22.81640625" bestFit="1" customWidth="1"/>
    <col min="2" max="2" width="19.81640625" bestFit="1" customWidth="1"/>
    <col min="3" max="3" width="19.81640625" customWidth="1"/>
    <col min="4" max="4" width="21.7265625" bestFit="1" customWidth="1"/>
    <col min="7" max="7" width="14.7265625" bestFit="1" customWidth="1"/>
    <col min="8" max="8" width="10.81640625" bestFit="1" customWidth="1"/>
    <col min="9" max="9" width="19.26953125" style="2" bestFit="1" customWidth="1"/>
    <col min="10" max="10" width="16.54296875" style="2" bestFit="1" customWidth="1"/>
    <col min="11" max="11" width="17.453125" style="2" bestFit="1" customWidth="1"/>
    <col min="13" max="13" width="19.26953125" bestFit="1" customWidth="1"/>
    <col min="14" max="14" width="8.81640625" customWidth="1"/>
    <col min="15" max="15" width="8.26953125" bestFit="1" customWidth="1"/>
    <col min="20" max="20" width="9.81640625" bestFit="1" customWidth="1"/>
    <col min="21" max="21" width="10.26953125" bestFit="1" customWidth="1"/>
    <col min="22" max="22" width="17.54296875" bestFit="1" customWidth="1"/>
  </cols>
  <sheetData>
    <row r="1" spans="1:23" ht="21" customHeight="1" x14ac:dyDescent="0.5">
      <c r="A1" s="1" t="s">
        <v>0</v>
      </c>
    </row>
    <row r="2" spans="1:23" ht="15.65" customHeight="1" x14ac:dyDescent="0.35">
      <c r="B2" s="3" t="s">
        <v>1</v>
      </c>
      <c r="C2" s="3" t="s">
        <v>2</v>
      </c>
      <c r="H2" s="2"/>
    </row>
    <row r="3" spans="1:23" x14ac:dyDescent="0.35">
      <c r="B3" s="4" t="s">
        <v>3</v>
      </c>
      <c r="C3" s="5"/>
      <c r="H3" s="2"/>
    </row>
    <row r="4" spans="1:23" x14ac:dyDescent="0.35">
      <c r="B4" s="4" t="s">
        <v>4</v>
      </c>
      <c r="C4" s="5"/>
      <c r="H4" s="2"/>
    </row>
    <row r="5" spans="1:23" x14ac:dyDescent="0.35">
      <c r="B5" s="4" t="s">
        <v>5</v>
      </c>
      <c r="C5" s="5">
        <f>SUMIF(E25:E55,"Groceries",D25:D55)</f>
        <v>0</v>
      </c>
      <c r="H5" s="2"/>
    </row>
    <row r="6" spans="1:23" x14ac:dyDescent="0.35">
      <c r="A6" s="6" t="s">
        <v>6</v>
      </c>
      <c r="B6" s="4" t="s">
        <v>7</v>
      </c>
      <c r="C6" s="5">
        <f>SUMIF(E25:E56,"EO",D25:D56)</f>
        <v>0</v>
      </c>
      <c r="H6" s="2"/>
      <c r="T6" s="2"/>
      <c r="U6" s="2"/>
      <c r="V6" s="2"/>
    </row>
    <row r="7" spans="1:23" x14ac:dyDescent="0.35">
      <c r="A7" s="6" t="s">
        <v>8</v>
      </c>
      <c r="B7" s="4" t="s">
        <v>9</v>
      </c>
      <c r="C7" s="5">
        <f>SUMIF(E25:E57,"ENT",D25:D57)</f>
        <v>0</v>
      </c>
      <c r="H7" s="2"/>
      <c r="T7" s="2"/>
      <c r="U7" s="2"/>
      <c r="V7" s="2"/>
    </row>
    <row r="8" spans="1:23" x14ac:dyDescent="0.35">
      <c r="A8" s="6"/>
      <c r="B8" s="7" t="s">
        <v>10</v>
      </c>
      <c r="C8" s="5">
        <f>SUMIF(E25:E58,"Gas",D25:D58)</f>
        <v>0</v>
      </c>
      <c r="H8" s="2"/>
      <c r="T8" s="2"/>
      <c r="U8" s="2"/>
      <c r="V8" s="2"/>
    </row>
    <row r="9" spans="1:23" x14ac:dyDescent="0.35">
      <c r="B9" s="4" t="s">
        <v>11</v>
      </c>
      <c r="C9" s="5">
        <f>SUMIF(E25:E59,"Gift",D25:D59)</f>
        <v>0</v>
      </c>
      <c r="H9" s="2"/>
      <c r="T9" s="2"/>
      <c r="U9" s="2"/>
      <c r="V9" s="2"/>
    </row>
    <row r="10" spans="1:23" x14ac:dyDescent="0.35">
      <c r="B10" s="4" t="s">
        <v>12</v>
      </c>
      <c r="C10" s="5">
        <f>SUMIF(E25:E60,"Other",D25:D60)</f>
        <v>0</v>
      </c>
      <c r="H10" s="2"/>
      <c r="T10" s="2"/>
      <c r="U10" s="2"/>
      <c r="V10" s="2"/>
    </row>
    <row r="11" spans="1:23" x14ac:dyDescent="0.35">
      <c r="D11" s="2"/>
      <c r="U11" s="2"/>
      <c r="V11" s="2"/>
      <c r="W11" s="2"/>
    </row>
    <row r="12" spans="1:23" x14ac:dyDescent="0.35">
      <c r="B12" t="s">
        <v>13</v>
      </c>
      <c r="C12" s="2">
        <f>SUM(C3:C10)</f>
        <v>0</v>
      </c>
      <c r="U12" s="2"/>
      <c r="V12" s="2"/>
      <c r="W12" s="2"/>
    </row>
    <row r="13" spans="1:23" x14ac:dyDescent="0.35">
      <c r="C13" s="2"/>
      <c r="U13" s="2"/>
      <c r="V13" s="2"/>
      <c r="W13" s="2"/>
    </row>
    <row r="14" spans="1:23" x14ac:dyDescent="0.35">
      <c r="B14" t="s">
        <v>14</v>
      </c>
      <c r="C14" s="2">
        <f>SUM(C5:C10)</f>
        <v>0</v>
      </c>
      <c r="U14" s="2"/>
      <c r="V14" s="2"/>
      <c r="W14" s="2"/>
    </row>
    <row r="15" spans="1:23" x14ac:dyDescent="0.35">
      <c r="U15" s="2"/>
      <c r="V15" s="2"/>
      <c r="W15" s="2"/>
    </row>
    <row r="16" spans="1:23" x14ac:dyDescent="0.35">
      <c r="A16" t="s">
        <v>57</v>
      </c>
      <c r="B16" t="s">
        <v>15</v>
      </c>
      <c r="C16" s="8">
        <f>A18 - (SUM(C5:C10))</f>
        <v>0</v>
      </c>
      <c r="U16" s="2"/>
      <c r="V16" s="2"/>
      <c r="W16" s="2"/>
    </row>
    <row r="17" spans="1:23" x14ac:dyDescent="0.35">
      <c r="U17" s="2"/>
      <c r="V17" s="2"/>
      <c r="W17" s="2"/>
    </row>
    <row r="18" spans="1:23" x14ac:dyDescent="0.35">
      <c r="D18" t="s">
        <v>16</v>
      </c>
      <c r="U18" s="2"/>
      <c r="V18" s="2"/>
      <c r="W18" s="2"/>
    </row>
    <row r="19" spans="1:23" x14ac:dyDescent="0.35">
      <c r="D19" s="2">
        <f ca="1">C16/_xlfn.DAYS(31,DAY(TODAY()))</f>
        <v>0</v>
      </c>
      <c r="U19" s="2"/>
      <c r="V19" s="2"/>
      <c r="W19" s="2"/>
    </row>
    <row r="20" spans="1:23" x14ac:dyDescent="0.35">
      <c r="U20" s="2"/>
      <c r="V20" s="2"/>
      <c r="W20" s="2"/>
    </row>
    <row r="21" spans="1:23" ht="18.649999999999999" customHeight="1" x14ac:dyDescent="0.45">
      <c r="A21" s="9" t="s">
        <v>17</v>
      </c>
      <c r="U21" s="2"/>
      <c r="V21" s="2"/>
      <c r="W21" s="2"/>
    </row>
    <row r="22" spans="1:23" x14ac:dyDescent="0.35">
      <c r="A22" s="10"/>
      <c r="U22" s="2"/>
      <c r="V22" s="2"/>
      <c r="W22" s="2"/>
    </row>
    <row r="23" spans="1:23" x14ac:dyDescent="0.35">
      <c r="A23" s="10" t="s">
        <v>18</v>
      </c>
      <c r="B23" s="11"/>
      <c r="C23" s="11"/>
      <c r="U23" s="2"/>
      <c r="V23" s="2"/>
      <c r="W23" s="2"/>
    </row>
    <row r="24" spans="1:23" ht="15" customHeight="1" thickBot="1" x14ac:dyDescent="0.4">
      <c r="A24" s="12" t="s">
        <v>19</v>
      </c>
      <c r="B24" s="12" t="s">
        <v>20</v>
      </c>
      <c r="C24" s="12" t="s">
        <v>21</v>
      </c>
      <c r="D24" s="12" t="s">
        <v>22</v>
      </c>
      <c r="E24" s="12" t="s">
        <v>23</v>
      </c>
      <c r="U24" s="2"/>
      <c r="V24" s="2"/>
      <c r="W24" s="2"/>
    </row>
    <row r="25" spans="1:23" x14ac:dyDescent="0.35">
      <c r="A25" s="13"/>
      <c r="D25" s="14"/>
      <c r="E25" s="15"/>
      <c r="G25" t="s">
        <v>24</v>
      </c>
      <c r="H25" s="16">
        <f>SUMIF(C25:C55, "&lt;&gt;"&amp;"Target",D25:D55)</f>
        <v>0</v>
      </c>
      <c r="U25" s="2"/>
      <c r="V25" s="2"/>
      <c r="W25" s="2"/>
    </row>
    <row r="26" spans="1:23" x14ac:dyDescent="0.35">
      <c r="A26" s="13"/>
      <c r="D26" s="14"/>
      <c r="E26" s="17"/>
      <c r="G26" t="s">
        <v>25</v>
      </c>
      <c r="H26" s="16">
        <f>SUMIF(C25:C55, "Target", D25:D55)</f>
        <v>0</v>
      </c>
      <c r="U26" s="2"/>
      <c r="V26" s="2"/>
      <c r="W26" s="2"/>
    </row>
    <row r="27" spans="1:23" x14ac:dyDescent="0.35">
      <c r="A27" s="13"/>
      <c r="D27" s="14"/>
      <c r="E27" s="17"/>
      <c r="U27" s="2"/>
      <c r="V27" s="2"/>
      <c r="W27" s="2"/>
    </row>
    <row r="28" spans="1:23" x14ac:dyDescent="0.35">
      <c r="A28" s="13"/>
      <c r="D28" s="14"/>
      <c r="E28" s="17"/>
      <c r="U28" s="2"/>
      <c r="V28" s="2"/>
      <c r="W28" s="2"/>
    </row>
    <row r="29" spans="1:23" x14ac:dyDescent="0.35">
      <c r="A29" s="13"/>
      <c r="D29" s="14"/>
      <c r="E29" s="17"/>
      <c r="U29" s="2"/>
      <c r="V29" s="2"/>
      <c r="W29" s="2"/>
    </row>
    <row r="30" spans="1:23" ht="19" customHeight="1" thickBot="1" x14ac:dyDescent="0.5">
      <c r="A30" s="18"/>
      <c r="D30" s="14"/>
      <c r="E30" s="17"/>
      <c r="I30" s="19" t="s">
        <v>5</v>
      </c>
      <c r="J30" s="20"/>
      <c r="K30" s="21"/>
      <c r="M30" s="19" t="s">
        <v>10</v>
      </c>
      <c r="N30" s="20"/>
      <c r="O30" s="21"/>
      <c r="U30" s="2"/>
      <c r="V30" s="2"/>
      <c r="W30" s="2"/>
    </row>
    <row r="31" spans="1:23" ht="15" customHeight="1" thickTop="1" x14ac:dyDescent="0.35">
      <c r="A31" s="13"/>
      <c r="D31" s="14"/>
      <c r="E31" s="17"/>
      <c r="I31" s="22" t="s">
        <v>26</v>
      </c>
      <c r="J31" t="s">
        <v>13</v>
      </c>
      <c r="K31" s="23" t="s">
        <v>27</v>
      </c>
      <c r="M31" s="22" t="s">
        <v>26</v>
      </c>
      <c r="N31" t="s">
        <v>13</v>
      </c>
      <c r="O31" s="23" t="s">
        <v>28</v>
      </c>
      <c r="U31" s="2"/>
      <c r="V31" s="2"/>
      <c r="W31" s="2"/>
    </row>
    <row r="32" spans="1:23" x14ac:dyDescent="0.35">
      <c r="A32" s="18"/>
      <c r="D32" s="14"/>
      <c r="E32" s="17"/>
      <c r="I32" s="22" t="s">
        <v>29</v>
      </c>
      <c r="J32" s="16"/>
      <c r="K32" s="24"/>
      <c r="M32" s="22" t="s">
        <v>29</v>
      </c>
      <c r="N32" s="16"/>
      <c r="O32" s="24"/>
      <c r="U32" s="2"/>
      <c r="V32" s="2"/>
      <c r="W32" s="2"/>
    </row>
    <row r="33" spans="1:15" x14ac:dyDescent="0.35">
      <c r="A33" s="18"/>
      <c r="D33" s="14"/>
      <c r="E33" s="17"/>
      <c r="I33" s="22" t="s">
        <v>30</v>
      </c>
      <c r="J33" s="16"/>
      <c r="K33" s="24"/>
      <c r="M33" s="22" t="s">
        <v>30</v>
      </c>
      <c r="N33" s="16"/>
      <c r="O33" s="24"/>
    </row>
    <row r="34" spans="1:15" x14ac:dyDescent="0.35">
      <c r="A34" s="18"/>
      <c r="D34" s="14"/>
      <c r="E34" s="17"/>
      <c r="I34" s="22" t="s">
        <v>31</v>
      </c>
      <c r="J34" s="16"/>
      <c r="K34" s="24"/>
      <c r="M34" s="22" t="s">
        <v>31</v>
      </c>
      <c r="N34" s="16"/>
      <c r="O34" s="24"/>
    </row>
    <row r="35" spans="1:15" x14ac:dyDescent="0.35">
      <c r="A35" s="18"/>
      <c r="D35" s="14"/>
      <c r="E35" s="17"/>
      <c r="I35" s="22" t="s">
        <v>32</v>
      </c>
      <c r="J35" s="16"/>
      <c r="K35" s="24"/>
      <c r="M35" s="22" t="s">
        <v>32</v>
      </c>
      <c r="N35" s="16"/>
      <c r="O35" s="24"/>
    </row>
    <row r="36" spans="1:15" x14ac:dyDescent="0.35">
      <c r="A36" s="18"/>
      <c r="D36" s="14"/>
      <c r="E36" s="17"/>
      <c r="I36" s="22" t="s">
        <v>33</v>
      </c>
      <c r="J36"/>
      <c r="K36" s="25"/>
      <c r="M36" s="22" t="s">
        <v>33</v>
      </c>
      <c r="N36" s="16"/>
      <c r="O36" s="24"/>
    </row>
    <row r="37" spans="1:15" x14ac:dyDescent="0.35">
      <c r="A37" s="18"/>
      <c r="D37" s="14"/>
      <c r="E37" s="17"/>
      <c r="I37" s="22" t="s">
        <v>18</v>
      </c>
      <c r="J37" s="16"/>
      <c r="K37" s="24"/>
      <c r="M37" s="22" t="s">
        <v>18</v>
      </c>
      <c r="N37" s="16"/>
      <c r="O37" s="24"/>
    </row>
    <row r="38" spans="1:15" x14ac:dyDescent="0.35">
      <c r="A38" s="18"/>
      <c r="D38" s="14"/>
      <c r="E38" s="17"/>
      <c r="I38" s="26" t="s">
        <v>34</v>
      </c>
      <c r="K38" s="27"/>
      <c r="M38" s="26" t="s">
        <v>34</v>
      </c>
      <c r="O38" s="25"/>
    </row>
    <row r="39" spans="1:15" x14ac:dyDescent="0.35">
      <c r="D39" s="14"/>
      <c r="E39" s="17"/>
      <c r="I39" s="26" t="s">
        <v>35</v>
      </c>
      <c r="K39" s="27"/>
      <c r="M39" s="26" t="s">
        <v>35</v>
      </c>
      <c r="O39" s="25"/>
    </row>
    <row r="40" spans="1:15" x14ac:dyDescent="0.35">
      <c r="D40" s="14"/>
      <c r="E40" s="17"/>
      <c r="I40" s="26" t="s">
        <v>36</v>
      </c>
      <c r="K40" s="27"/>
      <c r="M40" s="26" t="s">
        <v>36</v>
      </c>
      <c r="O40" s="25"/>
    </row>
    <row r="41" spans="1:15" x14ac:dyDescent="0.35">
      <c r="D41" s="14"/>
      <c r="E41" s="17"/>
      <c r="I41" s="26" t="s">
        <v>37</v>
      </c>
      <c r="K41" s="27"/>
      <c r="M41" s="26" t="s">
        <v>37</v>
      </c>
      <c r="O41" s="25"/>
    </row>
    <row r="42" spans="1:15" x14ac:dyDescent="0.35">
      <c r="D42" s="14"/>
      <c r="E42" s="17"/>
      <c r="I42" s="26" t="s">
        <v>38</v>
      </c>
      <c r="K42" s="27"/>
      <c r="M42" s="26" t="s">
        <v>38</v>
      </c>
      <c r="N42" s="16"/>
      <c r="O42" s="25"/>
    </row>
    <row r="43" spans="1:15" x14ac:dyDescent="0.35">
      <c r="D43" s="16"/>
      <c r="E43" s="17"/>
      <c r="I43" s="26" t="s">
        <v>39</v>
      </c>
      <c r="K43" s="27"/>
      <c r="M43" s="26" t="s">
        <v>39</v>
      </c>
      <c r="O43" s="25"/>
    </row>
    <row r="44" spans="1:15" x14ac:dyDescent="0.35">
      <c r="D44" s="16"/>
      <c r="E44" s="17"/>
      <c r="H44" s="16"/>
      <c r="I44" s="28"/>
      <c r="K44" s="27"/>
      <c r="M44" s="22"/>
      <c r="O44" s="25"/>
    </row>
    <row r="45" spans="1:15" x14ac:dyDescent="0.35">
      <c r="D45" s="16"/>
      <c r="E45" s="17"/>
      <c r="I45" s="22" t="s">
        <v>13</v>
      </c>
      <c r="J45" s="16">
        <f>SUM(J32:J43)</f>
        <v>0</v>
      </c>
      <c r="K45" s="24"/>
      <c r="M45" s="22" t="s">
        <v>13</v>
      </c>
      <c r="N45" s="16">
        <f>SUM(N32:N43)</f>
        <v>0</v>
      </c>
      <c r="O45" s="24"/>
    </row>
    <row r="46" spans="1:15" x14ac:dyDescent="0.35">
      <c r="A46" s="29"/>
      <c r="D46" s="16"/>
      <c r="E46" s="17"/>
      <c r="I46" s="30" t="s">
        <v>40</v>
      </c>
      <c r="J46" s="31" t="e">
        <f>AVERAGE(J32:J43)</f>
        <v>#DIV/0!</v>
      </c>
      <c r="K46" s="32"/>
      <c r="M46" s="30" t="s">
        <v>40</v>
      </c>
      <c r="N46" s="31" t="e">
        <f>AVERAGE(N32:N43)</f>
        <v>#DIV/0!</v>
      </c>
      <c r="O46" s="32"/>
    </row>
    <row r="47" spans="1:15" x14ac:dyDescent="0.35">
      <c r="A47" s="29"/>
      <c r="D47" s="16"/>
      <c r="E47" s="17"/>
    </row>
    <row r="48" spans="1:15" x14ac:dyDescent="0.35">
      <c r="A48" s="29"/>
      <c r="D48" s="16"/>
      <c r="E48" s="17"/>
    </row>
    <row r="49" spans="1:5" x14ac:dyDescent="0.35">
      <c r="A49" s="33"/>
      <c r="D49" s="16"/>
      <c r="E49" s="17"/>
    </row>
    <row r="50" spans="1:5" x14ac:dyDescent="0.35">
      <c r="A50" s="33"/>
      <c r="D50" s="16"/>
      <c r="E50" s="17"/>
    </row>
    <row r="51" spans="1:5" x14ac:dyDescent="0.35">
      <c r="A51" s="33"/>
      <c r="D51" s="16"/>
      <c r="E51" s="17"/>
    </row>
    <row r="52" spans="1:5" x14ac:dyDescent="0.35">
      <c r="A52" s="33"/>
      <c r="D52" s="16"/>
      <c r="E52" s="17"/>
    </row>
    <row r="53" spans="1:5" x14ac:dyDescent="0.35">
      <c r="A53" s="33"/>
      <c r="D53" s="16"/>
      <c r="E53" s="17"/>
    </row>
    <row r="54" spans="1:5" x14ac:dyDescent="0.35">
      <c r="A54" s="33"/>
      <c r="D54" s="16"/>
      <c r="E54" s="17"/>
    </row>
    <row r="55" spans="1:5" ht="15" customHeight="1" thickBot="1" x14ac:dyDescent="0.4">
      <c r="A55" s="34"/>
      <c r="B55" s="12"/>
      <c r="C55" s="12"/>
      <c r="D55" s="35"/>
      <c r="E55" s="36"/>
    </row>
  </sheetData>
  <conditionalFormatting sqref="C16">
    <cfRule type="expression" dxfId="1" priority="1">
      <formula>"IF($C$16 &lt; 0)"</formula>
    </cfRule>
    <cfRule type="cellIs" dxfId="0" priority="2" operator="greaterThan">
      <formula>50</formula>
    </cfRule>
  </conditionalFormatting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Set</vt:lpstr>
      <vt:lpstr>Yearly</vt:lpstr>
      <vt:lpstr>Monthly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Flynn</dc:creator>
  <cp:lastModifiedBy>Ryan Flynn</cp:lastModifiedBy>
  <dcterms:created xsi:type="dcterms:W3CDTF">2020-06-06T03:45:12Z</dcterms:created>
  <dcterms:modified xsi:type="dcterms:W3CDTF">2020-06-06T03:50:33Z</dcterms:modified>
</cp:coreProperties>
</file>